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db881b619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795672d3e2ea42ff"/>
    <x:sheet xmlns:r="http://schemas.openxmlformats.org/officeDocument/2006/relationships" name="Import" sheetId="2" r:id="R2b3290ea767d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%"/>
    <x:numFmt numFmtId="202" formatCode="&quot;NZ$&quot;#,##0.00"/>
  </x:numFmts>
  <x:fonts count="5">
    <x:font>
      <x:sz val="11"/>
      <x:name val="Carlito"/>
    </x:font>
    <x:font>
      <x:b/>
      <x:sz val="16"/>
      <x:color rgb="FF20353C"/>
      <x:name val="Arial"/>
    </x:font>
    <x:font>
      <x:b/>
      <x:sz val="11"/>
      <x:color rgb="FF20353C"/>
      <x:name val="Arial"/>
    </x:font>
    <x:font>
      <x:sz val="11"/>
      <x:color rgb="FF20353C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EBE1"/>
      </x:patternFill>
    </x:fill>
    <x:fill>
      <x:patternFill patternType="solid">
        <x:fgColor rgb="FFFAA21F"/>
      </x:patternFill>
    </x:fill>
    <x:fill>
      <x:patternFill patternType="solid">
        <x:fgColor rgb="FF20353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0" borderId="0" xfId="0" applyNumberFormat="1" applyFont="1" applyFill="1" applyBorder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3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086b4ce344e16" /><Relationship Type="http://schemas.openxmlformats.org/officeDocument/2006/relationships/theme" Target="/xl/theme/theme1.xml" Id="Ra5189268c1644ba6" /><Relationship Type="http://schemas.openxmlformats.org/officeDocument/2006/relationships/sharedStrings" Target="/xl/sharedStrings.xml" Id="Rc3f13adf084e47a8" /><Relationship Type="http://schemas.openxmlformats.org/officeDocument/2006/relationships/worksheet" Target="/xl/worksheets/sheet1.xml" Id="R795672d3e2ea42ff" /><Relationship Type="http://schemas.openxmlformats.org/officeDocument/2006/relationships/worksheet" Target="/xl/worksheets/sheet2.xml" Id="R2b3290ea767d41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53C"/>
  </x:sheetPr>
  <x:sheetViews>
    <x:sheetView showGridLines="0" workbookViewId="0"/>
  </x:sheetViews>
  <x:sheetFormatPr defaultRowHeight="15"/>
  <x:cols>
    <x:col min="1" max="1" width="17" hidden="0" customWidth="1"/>
    <x:col min="2" max="2" width="38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6" customHeight="1">
      <x:c r="A2" s="16" t="str">
        <x:v>Shed House contractor pricing</x:v>
      </x:c>
      <x:c r="B2" s="10"/>
      <x:c r="C2" s="10"/>
      <x:c r="D2" s="10"/>
      <x:c r="E2" s="10"/>
      <x:c r="F2" s="10"/>
      <x:c r="G2" s="10"/>
      <x:c r="H2" s="10"/>
    </x:row>
    <x:row r="3" ht="26" customHeight="1">
      <x:c r="A3" s="10" t="str">
        <x:v>DRAFT. Fictitious examples only. NZD.</x:v>
      </x:c>
      <x:c r="B3" s="10"/>
      <x:c r="C3" s="10"/>
      <x:c r="D3" s="10"/>
      <x:c r="E3" s="10"/>
      <x:c r="F3" s="10"/>
      <x:c r="G3" s="10"/>
      <x:c r="H3" s="10"/>
    </x:row>
    <x:row r="4" ht="26" customHeight="1">
      <x:c r="A4" s="10"/>
      <x:c r="B4" s="10"/>
      <x:c r="C4" s="10"/>
      <x:c r="D4" s="10"/>
      <x:c r="E4" s="10"/>
      <x:c r="F4" s="10"/>
      <x:c r="G4" s="10"/>
      <x:c r="H4" s="10"/>
    </x:row>
    <x:row r="5" ht="26" customHeight="1">
      <x:c r="A5" s="10" t="str">
        <x:v>GST assumption</x:v>
      </x:c>
      <x:c r="B5" s="11" t="n">
        <x:v>0.15</x:v>
      </x:c>
      <x:c r="C5" s="10"/>
      <x:c r="D5" s="10"/>
      <x:c r="E5" s="10"/>
      <x:c r="F5" s="10"/>
      <x:c r="G5" s="10"/>
      <x:c r="H5" s="10"/>
    </x:row>
    <x:row r="6" ht="26" customHeight="1">
      <x:c r="A6" s="10" t="str">
        <x:v>Cost excluding GST</x:v>
      </x:c>
      <x:c r="B6" s="17" t="n">
        <x:f>SUM(F13:F15)</x:f>
        <x:v>2400</x:v>
      </x:c>
      <x:c r="C6" s="10"/>
      <x:c r="D6" s="10"/>
      <x:c r="E6" s="10"/>
      <x:c r="F6" s="10"/>
      <x:c r="G6" s="10"/>
      <x:c r="H6" s="10"/>
    </x:row>
    <x:row r="7" ht="26" customHeight="1">
      <x:c r="A7" s="10" t="str">
        <x:v>Selling excluding GST</x:v>
      </x:c>
      <x:c r="B7" s="17" t="n">
        <x:f>SUM(H13:H15)</x:f>
        <x:v>2870</x:v>
      </x:c>
      <x:c r="C7" s="10"/>
      <x:c r="D7" s="10"/>
      <x:c r="E7" s="10"/>
      <x:c r="F7" s="10"/>
      <x:c r="G7" s="10"/>
      <x:c r="H7" s="10"/>
    </x:row>
    <x:row r="8" ht="26" customHeight="1">
      <x:c r="A8" s="10" t="str">
        <x:v>GST</x:v>
      </x:c>
      <x:c r="B8" s="17" t="n">
        <x:f>ROUND(B7*B5,2)</x:f>
        <x:v>430.5</x:v>
      </x:c>
      <x:c r="C8" s="10"/>
      <x:c r="D8" s="10"/>
      <x:c r="E8" s="10"/>
      <x:c r="F8" s="10"/>
      <x:c r="G8" s="10"/>
      <x:c r="H8" s="10"/>
    </x:row>
    <x:row r="9" ht="26" customHeight="1">
      <x:c r="A9" s="10" t="str">
        <x:v>Selling including GST</x:v>
      </x:c>
      <x:c r="B9" s="17" t="n">
        <x:f>B7+B8</x:f>
        <x:v>3300.5</x:v>
      </x:c>
      <x:c r="C9" s="10"/>
      <x:c r="D9" s="10"/>
      <x:c r="E9" s="10"/>
      <x:c r="F9" s="10"/>
      <x:c r="G9" s="10"/>
      <x:c r="H9" s="10"/>
    </x:row>
    <x:row r="10" ht="26" customHeight="1">
      <x:c r="A10" s="10"/>
      <x:c r="B10" s="10"/>
      <x:c r="C10" s="10"/>
      <x:c r="D10" s="10"/>
      <x:c r="E10" s="10"/>
      <x:c r="F10" s="10"/>
      <x:c r="G10" s="10"/>
      <x:c r="H10" s="10"/>
    </x:row>
    <x:row r="11" ht="26" customHeight="1">
      <x:c r="A11" s="10" t="str">
        <x:v>Markup is a percentage added to cost. Edit inputs on Import.</x:v>
      </x:c>
      <x:c r="B11" s="10"/>
      <x:c r="C11" s="10"/>
      <x:c r="D11" s="10"/>
      <x:c r="E11" s="10"/>
      <x:c r="F11" s="10"/>
      <x:c r="G11" s="10"/>
      <x:c r="H11" s="10"/>
    </x:row>
    <x:row r="12" ht="40" customHeight="1">
      <x:c r="A12" s="20" t="str">
        <x:v>Item code</x:v>
      </x:c>
      <x:c r="B12" s="20" t="str">
        <x:v>Description</x:v>
      </x:c>
      <x:c r="C12" s="20" t="str">
        <x:v>Category</x:v>
      </x:c>
      <x:c r="D12" s="20" t="str">
        <x:v>Unit</x:v>
      </x:c>
      <x:c r="E12" s="20" t="str">
        <x:v>Quantity</x:v>
      </x:c>
      <x:c r="F12" s="20" t="str">
        <x:v>Cost ex GST</x:v>
      </x:c>
      <x:c r="G12" s="20" t="str">
        <x:v>Markup %</x:v>
      </x:c>
      <x:c r="H12" s="20" t="str">
        <x:v>Sell ex GST</x:v>
      </x:c>
    </x:row>
    <x:row r="13" ht="26" customHeight="1">
      <x:c r="A13" s="10" t="str">
        <x:f>Import!A2</x:f>
        <x:v>DEMO-001</x:v>
      </x:c>
      <x:c r="B13" s="10" t="str">
        <x:f>Import!B2</x:f>
        <x:v>Fictitious erection labour</x:v>
      </x:c>
      <x:c r="C13" s="10" t="str">
        <x:f>Import!C2</x:f>
        <x:v>Labour</x:v>
      </x:c>
      <x:c r="D13" s="10" t="str">
        <x:f>Import!D2</x:f>
        <x:v>hour</x:v>
      </x:c>
      <x:c r="E13" s="10" t="n">
        <x:f>Import!E2</x:f>
        <x:v>40</x:v>
      </x:c>
      <x:c r="F13" s="17" t="n">
        <x:f>ROUND(E13*Import!F2,2)</x:f>
        <x:v>2000</x:v>
      </x:c>
      <x:c r="G13" s="10" t="n">
        <x:f>Import!G2</x:f>
        <x:v>20</x:v>
      </x:c>
      <x:c r="H13" s="17" t="n">
        <x:f>ROUND(F13*(1+G13/100),2)</x:f>
        <x:v>2400</x:v>
      </x:c>
    </x:row>
    <x:row r="14" ht="26" customHeight="1">
      <x:c r="A14" s="10" t="str">
        <x:f>Import!A3</x:f>
        <x:v>DEMO-002</x:v>
      </x:c>
      <x:c r="B14" s="10" t="str">
        <x:f>Import!B3</x:f>
        <x:v>Fictitious fixings allowance</x:v>
      </x:c>
      <x:c r="C14" s="10" t="str">
        <x:f>Import!C3</x:f>
        <x:v>Materials</x:v>
      </x:c>
      <x:c r="D14" s="10" t="str">
        <x:f>Import!D3</x:f>
        <x:v>lot</x:v>
      </x:c>
      <x:c r="E14" s="10" t="n">
        <x:f>Import!E3</x:f>
        <x:v>1</x:v>
      </x:c>
      <x:c r="F14" s="17" t="n">
        <x:f>ROUND(E14*Import!F3,2)</x:f>
        <x:v>200</x:v>
      </x:c>
      <x:c r="G14" s="10" t="n">
        <x:f>Import!G3</x:f>
        <x:v>25</x:v>
      </x:c>
      <x:c r="H14" s="17" t="n">
        <x:f>ROUND(F14*(1+G14/100),2)</x:f>
        <x:v>250</x:v>
      </x:c>
    </x:row>
    <x:row r="15" ht="26" customHeight="1">
      <x:c r="A15" s="10" t="str">
        <x:f>Import!A4</x:f>
        <x:v>DEMO-003</x:v>
      </x:c>
      <x:c r="B15" s="10" t="str">
        <x:f>Import!B4</x:f>
        <x:v>Fictitious equipment hire</x:v>
      </x:c>
      <x:c r="C15" s="10" t="str">
        <x:f>Import!C4</x:f>
        <x:v>Equipment</x:v>
      </x:c>
      <x:c r="D15" s="10" t="str">
        <x:f>Import!D4</x:f>
        <x:v>day</x:v>
      </x:c>
      <x:c r="E15" s="10" t="n">
        <x:f>Import!E4</x:f>
        <x:v>2</x:v>
      </x:c>
      <x:c r="F15" s="17" t="n">
        <x:f>ROUND(E15*Import!F4,2)</x:f>
        <x:v>200</x:v>
      </x:c>
      <x:c r="G15" s="10" t="n">
        <x:f>Import!G4</x:f>
        <x:v>10</x:v>
      </x:c>
      <x:c r="H15" s="17" t="n">
        <x:f>ROUND(F15*(1+G15/100),2)</x:f>
        <x:v>220</x:v>
      </x:c>
    </x:row>
  </x:sheetData>
  <x:mergeCells>
    <x:mergeCell ref="A3:H3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53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8" hidden="0" customWidth="1"/>
    <x:col min="3" max="3" width="18" hidden="0" customWidth="1"/>
    <x:col min="4" max="4" width="12" hidden="0" customWidth="1"/>
    <x:col min="5" max="5" width="18" hidden="0" customWidth="1"/>
    <x:col min="6" max="6" width="25" hidden="0" customWidth="1"/>
    <x:col min="7" max="7" width="25" hidden="0" customWidth="1"/>
    <x:col min="8" max="8" width="18" hidden="0" customWidth="1"/>
  </x:cols>
  <x:sheetData>
    <x:row r="1" ht="40" customHeight="1">
      <x:c r="A1" s="20" t="str">
        <x:v>item_code</x:v>
      </x:c>
      <x:c r="B1" s="20" t="str">
        <x:v>description</x:v>
      </x:c>
      <x:c r="C1" s="20" t="str">
        <x:v>category</x:v>
      </x:c>
      <x:c r="D1" s="20" t="str">
        <x:v>unit</x:v>
      </x:c>
      <x:c r="E1" s="20" t="str">
        <x:v>quantity</x:v>
      </x:c>
      <x:c r="F1" s="20" t="str">
        <x:v>unit_cost_ex_gst</x:v>
      </x:c>
      <x:c r="G1" s="20" t="str">
        <x:v>markup_percent</x:v>
      </x:c>
    </x:row>
    <x:row r="2" ht="26" customHeight="1">
      <x:c r="A2" s="14" t="str">
        <x:v>DEMO-001</x:v>
      </x:c>
      <x:c r="B2" s="14" t="str">
        <x:v>Fictitious erection labour</x:v>
      </x:c>
      <x:c r="C2" s="14" t="str">
        <x:v>Labour</x:v>
      </x:c>
      <x:c r="D2" s="14" t="str">
        <x:v>hour</x:v>
      </x:c>
      <x:c r="E2" s="15" t="n">
        <x:v>40</x:v>
      </x:c>
      <x:c r="F2" s="15" t="n">
        <x:v>50</x:v>
      </x:c>
      <x:c r="G2" s="15" t="n">
        <x:v>20</x:v>
      </x:c>
    </x:row>
    <x:row r="3" ht="26" customHeight="1">
      <x:c r="A3" s="14" t="str">
        <x:v>DEMO-002</x:v>
      </x:c>
      <x:c r="B3" s="14" t="str">
        <x:v>Fictitious fixings allowance</x:v>
      </x:c>
      <x:c r="C3" s="14" t="str">
        <x:v>Materials</x:v>
      </x:c>
      <x:c r="D3" s="14" t="str">
        <x:v>lot</x:v>
      </x:c>
      <x:c r="E3" s="15" t="n">
        <x:v>1</x:v>
      </x:c>
      <x:c r="F3" s="15" t="n">
        <x:v>200</x:v>
      </x:c>
      <x:c r="G3" s="15" t="n">
        <x:v>25</x:v>
      </x:c>
    </x:row>
    <x:row r="4" ht="26" customHeight="1">
      <x:c r="A4" s="14" t="str">
        <x:v>DEMO-003</x:v>
      </x:c>
      <x:c r="B4" s="14" t="str">
        <x:v>Fictitious equipment hire</x:v>
      </x:c>
      <x:c r="C4" s="14" t="str">
        <x:v>Equipment</x:v>
      </x:c>
      <x:c r="D4" s="14" t="str">
        <x:v>day</x:v>
      </x:c>
      <x:c r="E4" s="15" t="n">
        <x:v>2</x:v>
      </x:c>
      <x:c r="F4" s="15" t="n">
        <x:v>100</x:v>
      </x:c>
      <x:c r="G4" s="15" t="n">
        <x:v>10</x:v>
      </x:c>
    </x:row>
  </x:sheetData>
  <x:pageMargins left="0.7" right="0.7" top="0.75" bottom="0.75" header="0.3" footer="0.3"/>
</x:worksheet>
</file>